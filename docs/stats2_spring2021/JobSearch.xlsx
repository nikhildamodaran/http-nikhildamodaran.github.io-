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hildamodaran/Desktop/1305585313_531273/SBE13e_DATAfiles_CH08/"/>
    </mc:Choice>
  </mc:AlternateContent>
  <xr:revisionPtr revIDLastSave="0" documentId="13_ncr:1_{B212F335-97EA-124C-998A-FA0EF13E529C}" xr6:coauthVersionLast="46" xr6:coauthVersionMax="46" xr10:uidLastSave="{00000000-0000-0000-0000-000000000000}"/>
  <bookViews>
    <workbookView xWindow="480" yWindow="520" windowWidth="33180" windowHeight="21080" xr2:uid="{00000000-000D-0000-FFFF-FFFF00000000}"/>
  </bookViews>
  <sheets>
    <sheet name="Data" sheetId="1" r:id="rId1"/>
  </sheets>
  <definedNames>
    <definedName name="_xlchart.v1.0" hidden="1">Data!$A$1</definedName>
    <definedName name="_xlchart.v1.1" hidden="1">Data!$A$2:$A$41</definedName>
    <definedName name="_xlchart.v1.2" hidden="1">Data!$A$1</definedName>
    <definedName name="_xlchart.v1.3" hidden="1">Data!$A$2:$A$41</definedName>
    <definedName name="_xlchart.v1.4" hidden="1">Data!$A$1</definedName>
    <definedName name="_xlchart.v1.5" hidden="1">Data!$A$2:$A$41</definedName>
    <definedName name="_xlchart.v1.6" hidden="1">Data!$A$1</definedName>
    <definedName name="_xlchart.v1.7" hidden="1">Data!$A$2:$A$41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" l="1"/>
  <c r="A44" i="1"/>
  <c r="G31" i="1"/>
  <c r="F31" i="1"/>
  <c r="G27" i="1"/>
  <c r="F26" i="1"/>
  <c r="A43" i="1"/>
  <c r="A42" i="1"/>
</calcChain>
</file>

<file path=xl/sharedStrings.xml><?xml version="1.0" encoding="utf-8"?>
<sst xmlns="http://schemas.openxmlformats.org/spreadsheetml/2006/main" count="17" uniqueCount="17">
  <si>
    <t>Job Search Time (Weeks)</t>
  </si>
  <si>
    <t>AVERAGE</t>
  </si>
  <si>
    <t>(a) point estimate - 22.0</t>
  </si>
  <si>
    <t>Interpretation: On average it takes about 22 weeks for a worker to find a job. Based on this sample, the average workers in this population would take 22 weeks to find a job.</t>
  </si>
  <si>
    <t>(b) 95% Confidence interval</t>
  </si>
  <si>
    <t xml:space="preserve">Standard Deviation (s) </t>
  </si>
  <si>
    <t>Standard deviation: We really don’t know the population standard deviation so we use sample standard deviation.</t>
  </si>
  <si>
    <t>Margin for error: We need t?</t>
  </si>
  <si>
    <t>Degrees of freedom = n-1 = 39</t>
  </si>
  <si>
    <t>Margin for error</t>
  </si>
  <si>
    <t xml:space="preserve">t = </t>
  </si>
  <si>
    <t>(c) Intervals = 22 \pm 3.837</t>
  </si>
  <si>
    <t>Lower Limit</t>
  </si>
  <si>
    <t>Upper Limit</t>
  </si>
  <si>
    <t>Skewness</t>
  </si>
  <si>
    <t>Median</t>
  </si>
  <si>
    <t>(d) Mode &lt; Median &lt; Mean so distribution is rightward skewed.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</si>
</sst>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wrapText="1"/>
    </xf>
    <xf numFmtId="2" fontId="0" fillId="0" borderId="1" xfId="0" applyNumberFormat="1" applyBorder="1"/>
    <xf numFmtId="2" fontId="0" fillId="2" borderId="1" xfId="0" applyNumberFormat="1" applyFill="1" applyBorder="1"/>
    <xf numFmtId="2" fontId="0" fillId="0" borderId="2" xfId="0" applyNumberFormat="1" applyBorder="1"/>
    <xf numFmtId="2" fontId="0" fillId="2" borderId="3" xfId="0" applyNumberFormat="1" applyFill="1" applyBorder="1"/>
    <xf numFmtId="2" fontId="0" fillId="0" borderId="4" xfId="0" applyNumberFormat="1" applyBorder="1"/>
    <xf numFmtId="2" fontId="0" fillId="0" borderId="5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Job Search Time (in Weeks)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rPr>
            <a:t>Job Search Time (in Weeks)</a:t>
          </a:r>
        </a:p>
      </cx:txPr>
    </cx:title>
    <cx:plotArea>
      <cx:plotAreaRegion>
        <cx:series layoutId="clusteredColumn" uniqueId="{3E5C9418-B252-9945-9547-0123ACC45C54}">
          <cx:tx>
            <cx:txData>
              <cx:f>_xlchart.v1.2</cx:f>
              <cx:v>Job Search Time (Weeks)</cx:v>
            </cx:txData>
          </cx:tx>
          <cx:dataId val="0"/>
          <cx:layoutPr>
            <cx:binning intervalClosed="r">
              <cx:binCount val="9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563562</xdr:colOff>
      <xdr:row>0</xdr:row>
      <xdr:rowOff>255587</xdr:rowOff>
    </xdr:from>
    <xdr:to>
      <xdr:col>10</xdr:col>
      <xdr:colOff>190500</xdr:colOff>
      <xdr:row>13</xdr:row>
      <xdr:rowOff>93662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0F1DC5-142F-6042-9891-4B52830C5B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3625" y="255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14" zoomScale="190" zoomScaleNormal="190" workbookViewId="0">
      <selection activeCell="F33" sqref="F33"/>
    </sheetView>
  </sheetViews>
  <sheetFormatPr baseColWidth="10" defaultColWidth="8.83203125" defaultRowHeight="16" x14ac:dyDescent="0.2"/>
  <cols>
    <col min="1" max="1" width="13.33203125" customWidth="1"/>
    <col min="6" max="6" width="20.6640625" bestFit="1" customWidth="1"/>
  </cols>
  <sheetData>
    <row r="1" spans="1:6" ht="34" x14ac:dyDescent="0.2">
      <c r="A1" s="2" t="s">
        <v>0</v>
      </c>
    </row>
    <row r="2" spans="1:6" x14ac:dyDescent="0.2">
      <c r="A2" s="3">
        <v>21</v>
      </c>
    </row>
    <row r="3" spans="1:6" x14ac:dyDescent="0.2">
      <c r="A3" s="3">
        <v>14</v>
      </c>
    </row>
    <row r="4" spans="1:6" x14ac:dyDescent="0.2">
      <c r="A4" s="3">
        <v>51</v>
      </c>
    </row>
    <row r="5" spans="1:6" x14ac:dyDescent="0.2">
      <c r="A5" s="3">
        <v>16</v>
      </c>
    </row>
    <row r="6" spans="1:6" x14ac:dyDescent="0.2">
      <c r="A6" s="3">
        <v>17</v>
      </c>
    </row>
    <row r="7" spans="1:6" x14ac:dyDescent="0.2">
      <c r="A7" s="3">
        <v>14</v>
      </c>
    </row>
    <row r="8" spans="1:6" x14ac:dyDescent="0.2">
      <c r="A8" s="3">
        <v>16</v>
      </c>
    </row>
    <row r="9" spans="1:6" x14ac:dyDescent="0.2">
      <c r="A9" s="3">
        <v>12</v>
      </c>
    </row>
    <row r="10" spans="1:6" x14ac:dyDescent="0.2">
      <c r="A10" s="3">
        <v>48</v>
      </c>
    </row>
    <row r="11" spans="1:6" x14ac:dyDescent="0.2">
      <c r="A11" s="4">
        <v>0</v>
      </c>
    </row>
    <row r="12" spans="1:6" x14ac:dyDescent="0.2">
      <c r="A12" s="3">
        <v>27</v>
      </c>
    </row>
    <row r="13" spans="1:6" x14ac:dyDescent="0.2">
      <c r="A13" s="3">
        <v>17</v>
      </c>
    </row>
    <row r="14" spans="1:6" x14ac:dyDescent="0.2">
      <c r="A14" s="3">
        <v>32</v>
      </c>
    </row>
    <row r="15" spans="1:6" x14ac:dyDescent="0.2">
      <c r="A15" s="3">
        <v>24</v>
      </c>
    </row>
    <row r="16" spans="1:6" x14ac:dyDescent="0.2">
      <c r="A16" s="3">
        <v>12</v>
      </c>
      <c r="F16" t="s">
        <v>2</v>
      </c>
    </row>
    <row r="17" spans="1:7" x14ac:dyDescent="0.2">
      <c r="A17" s="3">
        <v>10</v>
      </c>
      <c r="F17" t="s">
        <v>3</v>
      </c>
    </row>
    <row r="18" spans="1:7" x14ac:dyDescent="0.2">
      <c r="A18" s="3">
        <v>52</v>
      </c>
    </row>
    <row r="19" spans="1:7" x14ac:dyDescent="0.2">
      <c r="A19" s="3">
        <v>21</v>
      </c>
      <c r="F19" t="s">
        <v>4</v>
      </c>
    </row>
    <row r="20" spans="1:7" x14ac:dyDescent="0.2">
      <c r="A20" s="3">
        <v>26</v>
      </c>
      <c r="F20" t="s">
        <v>6</v>
      </c>
    </row>
    <row r="21" spans="1:7" x14ac:dyDescent="0.2">
      <c r="A21" s="3">
        <v>14</v>
      </c>
    </row>
    <row r="22" spans="1:7" x14ac:dyDescent="0.2">
      <c r="A22" s="3">
        <v>13</v>
      </c>
      <c r="F22" t="s">
        <v>7</v>
      </c>
    </row>
    <row r="23" spans="1:7" x14ac:dyDescent="0.2">
      <c r="A23" s="3">
        <v>24</v>
      </c>
      <c r="F23" t="s">
        <v>8</v>
      </c>
    </row>
    <row r="24" spans="1:7" x14ac:dyDescent="0.2">
      <c r="A24" s="3">
        <v>19</v>
      </c>
      <c r="F24" t="s">
        <v>10</v>
      </c>
      <c r="G24">
        <v>2.0419999999999998</v>
      </c>
    </row>
    <row r="25" spans="1:7" x14ac:dyDescent="0.2">
      <c r="A25" s="3">
        <v>28</v>
      </c>
    </row>
    <row r="26" spans="1:7" x14ac:dyDescent="0.2">
      <c r="A26" s="3">
        <v>26</v>
      </c>
      <c r="F26">
        <f>SQRT(40)</f>
        <v>6.324555320336759</v>
      </c>
    </row>
    <row r="27" spans="1:7" x14ac:dyDescent="0.2">
      <c r="A27" s="3">
        <v>26</v>
      </c>
      <c r="F27" t="s">
        <v>9</v>
      </c>
      <c r="G27">
        <f>G24*(A43/F26)</f>
        <v>3.837684234281304</v>
      </c>
    </row>
    <row r="28" spans="1:7" x14ac:dyDescent="0.2">
      <c r="A28" s="3">
        <v>10</v>
      </c>
    </row>
    <row r="29" spans="1:7" x14ac:dyDescent="0.2">
      <c r="A29" s="3">
        <v>21</v>
      </c>
      <c r="F29" t="s">
        <v>11</v>
      </c>
    </row>
    <row r="30" spans="1:7" x14ac:dyDescent="0.2">
      <c r="A30" s="3">
        <v>44</v>
      </c>
      <c r="F30" t="s">
        <v>12</v>
      </c>
      <c r="G30" t="s">
        <v>13</v>
      </c>
    </row>
    <row r="31" spans="1:7" x14ac:dyDescent="0.2">
      <c r="A31" s="3">
        <v>36</v>
      </c>
      <c r="F31">
        <f>22 - G27</f>
        <v>18.162315765718695</v>
      </c>
      <c r="G31">
        <f>22 + G27</f>
        <v>25.837684234281305</v>
      </c>
    </row>
    <row r="32" spans="1:7" x14ac:dyDescent="0.2">
      <c r="A32" s="3">
        <v>22</v>
      </c>
    </row>
    <row r="33" spans="1:6" x14ac:dyDescent="0.2">
      <c r="A33" s="3">
        <v>39</v>
      </c>
      <c r="F33" t="s">
        <v>16</v>
      </c>
    </row>
    <row r="34" spans="1:6" x14ac:dyDescent="0.2">
      <c r="A34" s="3">
        <v>17</v>
      </c>
    </row>
    <row r="35" spans="1:6" x14ac:dyDescent="0.2">
      <c r="A35" s="3">
        <v>17</v>
      </c>
    </row>
    <row r="36" spans="1:6" x14ac:dyDescent="0.2">
      <c r="A36" s="3">
        <v>10</v>
      </c>
    </row>
    <row r="37" spans="1:6" x14ac:dyDescent="0.2">
      <c r="A37" s="3">
        <v>19</v>
      </c>
    </row>
    <row r="38" spans="1:6" x14ac:dyDescent="0.2">
      <c r="A38" s="3">
        <v>16</v>
      </c>
    </row>
    <row r="39" spans="1:6" x14ac:dyDescent="0.2">
      <c r="A39" s="3">
        <v>22</v>
      </c>
    </row>
    <row r="40" spans="1:6" x14ac:dyDescent="0.2">
      <c r="A40" s="3">
        <v>5</v>
      </c>
    </row>
    <row r="41" spans="1:6" ht="17" thickBot="1" x14ac:dyDescent="0.25">
      <c r="A41" s="5">
        <v>22</v>
      </c>
    </row>
    <row r="42" spans="1:6" x14ac:dyDescent="0.2">
      <c r="A42" s="6">
        <f>AVERAGE(A2:A41)</f>
        <v>22</v>
      </c>
      <c r="B42" t="s">
        <v>1</v>
      </c>
    </row>
    <row r="43" spans="1:6" x14ac:dyDescent="0.2">
      <c r="A43" s="7">
        <f>STDEV(A2:A41)</f>
        <v>11.886212655091246</v>
      </c>
      <c r="B43" t="s">
        <v>5</v>
      </c>
    </row>
    <row r="44" spans="1:6" ht="17" thickBot="1" x14ac:dyDescent="0.25">
      <c r="A44" s="8">
        <f>SKEW(A2:A41)</f>
        <v>1.0061978446889506</v>
      </c>
      <c r="B44" t="s">
        <v>14</v>
      </c>
    </row>
    <row r="45" spans="1:6" x14ac:dyDescent="0.2">
      <c r="A45" s="1">
        <f>MEDIAN(A2:A41)</f>
        <v>20</v>
      </c>
      <c r="B45" t="s">
        <v>15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Nikhil Damodaran</cp:lastModifiedBy>
  <dcterms:created xsi:type="dcterms:W3CDTF">2008-04-19T13:17:16Z</dcterms:created>
  <dcterms:modified xsi:type="dcterms:W3CDTF">2021-03-08T08:24:43Z</dcterms:modified>
</cp:coreProperties>
</file>